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20" windowWidth="51200" windowHeight="26920" activeTab="2"/>
  </bookViews>
  <sheets>
    <sheet sheetId="1" name="Friday October 9" state="visible" r:id="rId4"/>
    <sheet sheetId="2" name="Saturday October 10" state="visible" r:id="rId5"/>
    <sheet sheetId="3" name="Sunday October 11" state="visible" r:id="rId6"/>
    <sheet sheetId="4" name="- Hours by Level" state="visible" r:id="rId7"/>
    <sheet sheetId="5" name="- Hours by Caller" state="visible" r:id="rId8"/>
  </sheets>
  <calcPr calcId="171027"/>
</workbook>
</file>

<file path=xl/sharedStrings.xml><?xml version="1.0" encoding="utf-8"?>
<sst xmlns="http://schemas.openxmlformats.org/spreadsheetml/2006/main" count="140" uniqueCount="77">
  <si>
    <t>Time</t>
  </si>
  <si>
    <t>Lobby</t>
  </si>
  <si>
    <t>Glacier</t>
  </si>
  <si>
    <t>Horizon</t>
  </si>
  <si>
    <t>Alpine</t>
  </si>
  <si>
    <t>Columbia</t>
  </si>
  <si>
    <t>5:00-8:00p</t>
  </si>
  <si>
    <t>* Registration</t>
  </si>
  <si>
    <t>6:00-7:00p</t>
  </si>
  <si>
    <t>A2 &amp; C1: GCA Callers</t>
  </si>
  <si>
    <t>"</t>
  </si>
  <si>
    <t>7:00p-8:00p</t>
  </si>
  <si>
    <t xml:space="preserve">A2 &amp; C1: Trail-In Dance - All Headliners
ROOMS: Glacier, Horizon</t>
  </si>
  <si>
    <t>8:00p-9:00p</t>
  </si>
  <si>
    <t>A2 : Ray Brendzy</t>
  </si>
  <si>
    <t>C1 : Saundra Bryant</t>
  </si>
  <si>
    <t>C2 : Rob French</t>
  </si>
  <si>
    <t>C3A   : Vic Ceder</t>
  </si>
  <si>
    <t>9:00p-10:00p</t>
  </si>
  <si>
    <t>A2 : Michael Kellogg</t>
  </si>
  <si>
    <t>C1 : Ray Brendzy</t>
  </si>
  <si>
    <t>C2 : Saundra Bryant</t>
  </si>
  <si>
    <t>C3A  : Rob French</t>
  </si>
  <si>
    <t>9:00a-10:00a</t>
  </si>
  <si>
    <t>A2 : Rob French</t>
  </si>
  <si>
    <t>C1 : Michael Kellogg</t>
  </si>
  <si>
    <t>C2 : Ray Brendzy</t>
  </si>
  <si>
    <t>C3B : Vic Ceder</t>
  </si>
  <si>
    <t>10:00a-11:00a</t>
  </si>
  <si>
    <t>A2 : Saundra Bryant</t>
  </si>
  <si>
    <t>C1 : Rob French</t>
  </si>
  <si>
    <t>C2 : Michael Kellogg</t>
  </si>
  <si>
    <t>C3A  : Ray Brendzy</t>
  </si>
  <si>
    <t>11:00a-12:00p</t>
  </si>
  <si>
    <t>A2 : Vic Ceder</t>
  </si>
  <si>
    <t>C3A  : Michael Kellogg</t>
  </si>
  <si>
    <t>12:00p-1:00p</t>
  </si>
  <si>
    <t xml:space="preserve">* Lunch Break (on your own)
ROOMS: NONE</t>
  </si>
  <si>
    <t>1:00p-2:00p</t>
  </si>
  <si>
    <t>C1 : Vic Ceder</t>
  </si>
  <si>
    <t>C3B : Saundra Bryant</t>
  </si>
  <si>
    <t>2:00p-3:00p</t>
  </si>
  <si>
    <t>C2 : Vic Ceder</t>
  </si>
  <si>
    <t>C3A   : Rob French</t>
  </si>
  <si>
    <t>3:00p-4:00p</t>
  </si>
  <si>
    <t>4:00p-5:00p</t>
  </si>
  <si>
    <t>5:00p-7:00p</t>
  </si>
  <si>
    <t xml:space="preserve">* Dinner Break (on your own)
ROOMS: NONE</t>
  </si>
  <si>
    <t>C3A   : Saundra Bryant</t>
  </si>
  <si>
    <t>C3A   : Ray Brendzy</t>
  </si>
  <si>
    <t>C3A   : Michael Kellogg</t>
  </si>
  <si>
    <t>9:00a-11:00a</t>
  </si>
  <si>
    <t xml:space="preserve">* Brunch in Lobby
ROOMS: NONE</t>
  </si>
  <si>
    <t>C4 : Rob French</t>
  </si>
  <si>
    <t xml:space="preserve">A2 &amp; C1 : Closing - All Headliners
ROOMS: Glacier, Horizon</t>
  </si>
  <si>
    <t>Date</t>
  </si>
  <si>
    <t>A2</t>
  </si>
  <si>
    <t>C1</t>
  </si>
  <si>
    <t>C2</t>
  </si>
  <si>
    <t>C3A</t>
  </si>
  <si>
    <t>C3B</t>
  </si>
  <si>
    <t>C4</t>
  </si>
  <si>
    <t>Total</t>
  </si>
  <si>
    <t>Fri, Oct 9</t>
  </si>
  <si>
    <t>Sat, Oct 10</t>
  </si>
  <si>
    <t>Sun, Oct 11</t>
  </si>
  <si>
    <t>Calculated</t>
  </si>
  <si>
    <t>Saved</t>
  </si>
  <si>
    <t>Status</t>
  </si>
  <si>
    <t>Generated by scripts/generate-dance-schedule-hour-tabs.ts — re-run after editing any day's schedule.</t>
  </si>
  <si>
    <t>Michael Kellogg</t>
  </si>
  <si>
    <t>Ray Brendzy</t>
  </si>
  <si>
    <t>Rob French</t>
  </si>
  <si>
    <t>Saundra Bryant</t>
  </si>
  <si>
    <t>Vic Ceder</t>
  </si>
  <si>
    <t>All Headliners</t>
  </si>
  <si>
    <t>GCA Callers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</si>
</sst>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"/>
  </numFmts>
  <fonts count="3" x14ac:knownFonts="1">
    <font>
      <color theme="1"/>
      <family val="2"/>
      <scheme val="minor"/>
      <sz val="11"/>
      <name val="Calibri"/>
    </font>
    <font>
      <b/>
      <color rgb="FFFFFFFF"/>
      <family val="2"/>
      <sz val="11"/>
      <name val="Arial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2" fillId="0" borderId="0" xfId="0" applyFont="1"/>
    <xf numFmtId="164" fontId="0" fillId="0" borderId="0" xfId="0" applyNumberFormat="1"/>
    <xf numFmtId="1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 zoomScale="120" zoomScaleNormal="120">
      <pane xSplit="1" ySplit="1" topLeftCell="B2" activePane="bottomRight" state="frozen"/>
      <selection pane="bottomRight" activeCell="A3" sqref="A3"/>
    </sheetView>
  </sheetViews>
  <sheetFormatPr defaultRowHeight="15" outlineLevelRow="0" outlineLevelCol="0" x14ac:dyDescent="0.2" defaultColWidth="8.83203125"/>
  <cols>
    <col min="1" max="2" width="14" customWidth="1"/>
    <col min="3" max="6" width="30" customWidth="1"/>
  </cols>
  <sheetData>
    <row r="1" ht="30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30" customHeight="1" spans="1:6" x14ac:dyDescent="0.25">
      <c r="A2" s="2" t="s">
        <v>6</v>
      </c>
      <c r="B2" s="2" t="s">
        <v>7</v>
      </c>
      <c r="C2" s="2"/>
      <c r="D2" s="2"/>
      <c r="E2" s="2"/>
      <c r="F2" s="2"/>
    </row>
    <row r="3" ht="30" customHeight="1" spans="1:6" x14ac:dyDescent="0.25">
      <c r="A3" s="2" t="s">
        <v>8</v>
      </c>
      <c r="B3" s="2"/>
      <c r="C3" s="2" t="s">
        <v>9</v>
      </c>
      <c r="D3" s="2" t="s">
        <v>10</v>
      </c>
      <c r="E3" s="2"/>
      <c r="F3" s="2"/>
    </row>
    <row r="4" ht="48" customHeight="1" spans="1:3" x14ac:dyDescent="0.25">
      <c r="A4" s="2" t="s">
        <v>11</v>
      </c>
      <c r="B4" s="2"/>
      <c r="C4" s="2" t="s">
        <v>12</v>
      </c>
    </row>
    <row r="5" ht="16" customHeight="1" spans="1:6" x14ac:dyDescent="0.25">
      <c r="A5" s="2" t="s">
        <v>13</v>
      </c>
      <c r="B5" s="2"/>
      <c r="C5" s="2" t="s">
        <v>14</v>
      </c>
      <c r="D5" s="2" t="s">
        <v>15</v>
      </c>
      <c r="E5" s="2" t="s">
        <v>16</v>
      </c>
      <c r="F5" s="2" t="s">
        <v>17</v>
      </c>
    </row>
    <row r="6" ht="16" customHeight="1" spans="1:6" x14ac:dyDescent="0.25">
      <c r="A6" s="2" t="s">
        <v>18</v>
      </c>
      <c r="B6" s="2"/>
      <c r="C6" s="2" t="s">
        <v>19</v>
      </c>
      <c r="D6" s="2" t="s">
        <v>20</v>
      </c>
      <c r="E6" s="2" t="s">
        <v>21</v>
      </c>
      <c r="F6" s="2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 zoomScale="130" zoomScaleNormal="130">
      <pane xSplit="1" ySplit="1" topLeftCell="B2" activePane="bottomRight" state="frozen"/>
      <selection pane="bottomRight" activeCell="E4" sqref="E4"/>
    </sheetView>
  </sheetViews>
  <sheetFormatPr defaultRowHeight="15" outlineLevelRow="0" outlineLevelCol="0" x14ac:dyDescent="0.2" defaultColWidth="8.83203125"/>
  <cols>
    <col min="1" max="1" width="14" customWidth="1"/>
    <col min="2" max="5" width="30" customWidth="1"/>
  </cols>
  <sheetData>
    <row r="1" ht="30" customHeight="1" spans="1:5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</row>
    <row r="2" ht="16" customHeight="1" spans="1:5" x14ac:dyDescent="0.25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</row>
    <row r="3" ht="16" customHeight="1" spans="1:5" x14ac:dyDescent="0.25">
      <c r="A3" s="2" t="s">
        <v>28</v>
      </c>
      <c r="B3" s="2" t="s">
        <v>29</v>
      </c>
      <c r="C3" s="2" t="s">
        <v>30</v>
      </c>
      <c r="D3" s="2" t="s">
        <v>31</v>
      </c>
      <c r="E3" s="2" t="s">
        <v>32</v>
      </c>
    </row>
    <row r="4" ht="16" customHeight="1" spans="1:5" x14ac:dyDescent="0.25">
      <c r="A4" s="2" t="s">
        <v>33</v>
      </c>
      <c r="B4" s="2" t="s">
        <v>34</v>
      </c>
      <c r="C4" s="2" t="s">
        <v>15</v>
      </c>
      <c r="D4" s="2" t="s">
        <v>16</v>
      </c>
      <c r="E4" s="2" t="s">
        <v>35</v>
      </c>
    </row>
    <row r="5" ht="32" customHeight="1" spans="1:2" x14ac:dyDescent="0.25">
      <c r="A5" s="2" t="s">
        <v>36</v>
      </c>
      <c r="B5" s="2" t="s">
        <v>37</v>
      </c>
    </row>
    <row r="6" ht="16" customHeight="1" spans="1:5" x14ac:dyDescent="0.25">
      <c r="A6" s="2" t="s">
        <v>38</v>
      </c>
      <c r="B6" s="2" t="s">
        <v>14</v>
      </c>
      <c r="C6" s="2" t="s">
        <v>39</v>
      </c>
      <c r="D6" s="2" t="s">
        <v>31</v>
      </c>
      <c r="E6" s="2" t="s">
        <v>40</v>
      </c>
    </row>
    <row r="7" ht="16" customHeight="1" spans="1:5" x14ac:dyDescent="0.25">
      <c r="A7" s="2" t="s">
        <v>41</v>
      </c>
      <c r="B7" s="2" t="s">
        <v>19</v>
      </c>
      <c r="C7" s="2" t="s">
        <v>20</v>
      </c>
      <c r="D7" s="2" t="s">
        <v>42</v>
      </c>
      <c r="E7" s="2" t="s">
        <v>43</v>
      </c>
    </row>
    <row r="8" ht="16" customHeight="1" spans="1:5" x14ac:dyDescent="0.25">
      <c r="A8" s="2" t="s">
        <v>44</v>
      </c>
      <c r="B8" s="2" t="s">
        <v>29</v>
      </c>
      <c r="C8" s="2" t="s">
        <v>30</v>
      </c>
      <c r="D8" s="2" t="s">
        <v>26</v>
      </c>
      <c r="E8" s="2" t="s">
        <v>17</v>
      </c>
    </row>
    <row r="9" ht="16" customHeight="1" spans="1:5" x14ac:dyDescent="0.25">
      <c r="A9" s="2" t="s">
        <v>45</v>
      </c>
      <c r="B9" s="2" t="s">
        <v>19</v>
      </c>
      <c r="C9" s="2" t="s">
        <v>20</v>
      </c>
      <c r="D9" s="2" t="s">
        <v>21</v>
      </c>
      <c r="E9" s="2" t="s">
        <v>43</v>
      </c>
    </row>
    <row r="10" ht="32" customHeight="1" spans="1:2" x14ac:dyDescent="0.25">
      <c r="A10" s="2" t="s">
        <v>46</v>
      </c>
      <c r="B10" s="2" t="s">
        <v>47</v>
      </c>
    </row>
    <row r="11" ht="16" customHeight="1" spans="1:5" x14ac:dyDescent="0.25">
      <c r="A11" s="2" t="s">
        <v>11</v>
      </c>
      <c r="B11" s="2" t="s">
        <v>34</v>
      </c>
      <c r="C11" s="2" t="s">
        <v>25</v>
      </c>
      <c r="D11" s="2" t="s">
        <v>26</v>
      </c>
      <c r="E11" s="2" t="s">
        <v>48</v>
      </c>
    </row>
    <row r="12" ht="16" customHeight="1" spans="1:5" x14ac:dyDescent="0.25">
      <c r="A12" s="2" t="s">
        <v>13</v>
      </c>
      <c r="B12" s="2" t="s">
        <v>24</v>
      </c>
      <c r="C12" s="2" t="s">
        <v>39</v>
      </c>
      <c r="D12" s="2" t="s">
        <v>31</v>
      </c>
      <c r="E12" s="2" t="s">
        <v>49</v>
      </c>
    </row>
    <row r="13" ht="16" customHeight="1" spans="1:5" x14ac:dyDescent="0.25">
      <c r="A13" s="2" t="s">
        <v>18</v>
      </c>
      <c r="B13" s="2" t="s">
        <v>29</v>
      </c>
      <c r="C13" s="2" t="s">
        <v>30</v>
      </c>
      <c r="D13" s="2" t="s">
        <v>42</v>
      </c>
      <c r="E13" s="2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 zoomScale="140" zoomScaleNormal="140">
      <pane xSplit="1" ySplit="1" topLeftCell="B2" activePane="bottomRight" state="frozen"/>
      <selection pane="bottomRight" activeCell="F3" sqref="F3"/>
    </sheetView>
  </sheetViews>
  <sheetFormatPr defaultRowHeight="15" outlineLevelRow="0" outlineLevelCol="0" x14ac:dyDescent="0.2" defaultColWidth="8.83203125"/>
  <cols>
    <col min="1" max="2" width="14" customWidth="1"/>
    <col min="3" max="6" width="30" customWidth="1"/>
  </cols>
  <sheetData>
    <row r="1" ht="30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32" customHeight="1" spans="1:3" x14ac:dyDescent="0.25">
      <c r="A2" s="2" t="s">
        <v>51</v>
      </c>
      <c r="C2" s="2" t="s">
        <v>52</v>
      </c>
    </row>
    <row r="3" ht="16" customHeight="1" spans="1:6" x14ac:dyDescent="0.25">
      <c r="A3" s="2" t="s">
        <v>33</v>
      </c>
      <c r="B3" s="2"/>
      <c r="C3" s="2" t="s">
        <v>14</v>
      </c>
      <c r="D3" s="2" t="s">
        <v>39</v>
      </c>
      <c r="E3" s="2" t="s">
        <v>21</v>
      </c>
      <c r="F3" s="2" t="s">
        <v>53</v>
      </c>
    </row>
    <row r="4" ht="16" customHeight="1" spans="1:6" x14ac:dyDescent="0.25">
      <c r="A4" s="2" t="s">
        <v>36</v>
      </c>
      <c r="B4" s="2"/>
      <c r="C4" s="2" t="s">
        <v>34</v>
      </c>
      <c r="D4" s="2" t="s">
        <v>25</v>
      </c>
      <c r="E4" s="2" t="s">
        <v>26</v>
      </c>
      <c r="F4" s="2" t="s">
        <v>48</v>
      </c>
    </row>
    <row r="5" ht="16" customHeight="1" spans="1:6" x14ac:dyDescent="0.25">
      <c r="A5" s="2" t="s">
        <v>38</v>
      </c>
      <c r="B5" s="2"/>
      <c r="C5" s="2" t="s">
        <v>24</v>
      </c>
      <c r="D5" s="2" t="s">
        <v>15</v>
      </c>
      <c r="E5" s="2" t="s">
        <v>42</v>
      </c>
      <c r="F5" s="2" t="s">
        <v>35</v>
      </c>
    </row>
    <row r="6" ht="32" customHeight="1" spans="1:3" x14ac:dyDescent="0.25">
      <c r="A6" s="2" t="s">
        <v>41</v>
      </c>
      <c r="B6" s="2"/>
      <c r="C6" s="2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FormatPr defaultRowHeight="15" outlineLevelRow="0" outlineLevelCol="0" x14ac:dyDescent="55"/>
  <cols>
    <col min="1" max="1" width="10" customWidth="1"/>
    <col min="2" max="8" width="10" customWidth="1"/>
  </cols>
  <sheetData>
    <row r="1" spans="1:8" s="3" customFormat="1" x14ac:dyDescent="0.25">
      <c r="A1" s="3" t="s">
        <v>55</v>
      </c>
      <c r="B1" s="3" t="s">
        <v>56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</row>
    <row r="2" spans="1:8" x14ac:dyDescent="0.25">
      <c r="A2" t="s">
        <v>63</v>
      </c>
      <c r="B2">
        <v>3</v>
      </c>
      <c r="C2">
        <v>3</v>
      </c>
      <c r="D2">
        <v>2</v>
      </c>
      <c r="E2">
        <v>2</v>
      </c>
      <c r="F2">
        <v>0</v>
      </c>
      <c r="G2">
        <v>0</v>
      </c>
      <c r="H2">
        <v>10</v>
      </c>
    </row>
    <row r="3" spans="1:8" x14ac:dyDescent="0.25">
      <c r="A3" t="s">
        <v>64</v>
      </c>
      <c r="B3">
        <v>10</v>
      </c>
      <c r="C3">
        <v>10</v>
      </c>
      <c r="D3">
        <v>10</v>
      </c>
      <c r="E3">
        <v>8</v>
      </c>
      <c r="F3">
        <v>2</v>
      </c>
      <c r="G3">
        <v>0</v>
      </c>
      <c r="H3">
        <v>40</v>
      </c>
    </row>
    <row r="4" spans="1:8" x14ac:dyDescent="0.25">
      <c r="A4" t="s">
        <v>65</v>
      </c>
      <c r="B4">
        <v>3.5</v>
      </c>
      <c r="C4">
        <v>3.5</v>
      </c>
      <c r="D4">
        <v>3</v>
      </c>
      <c r="E4">
        <v>2</v>
      </c>
      <c r="F4">
        <v>0</v>
      </c>
      <c r="G4">
        <v>1</v>
      </c>
      <c r="H4">
        <v>13</v>
      </c>
    </row>
    <row r="5" spans="1:8" s="3" customFormat="1" x14ac:dyDescent="0.25">
      <c r="A5" s="3" t="s">
        <v>62</v>
      </c>
      <c r="B5" s="3">
        <v>16.5</v>
      </c>
      <c r="C5" s="3">
        <v>16.5</v>
      </c>
      <c r="D5" s="3">
        <v>15</v>
      </c>
      <c r="E5" s="3">
        <v>12</v>
      </c>
      <c r="F5" s="3">
        <v>2</v>
      </c>
      <c r="G5" s="3">
        <v>1</v>
      </c>
      <c r="H5" s="3">
        <v>63</v>
      </c>
    </row>
    <row r="7" spans="1:3" x14ac:dyDescent="0.25">
      <c r="A7" t="s">
        <v>66</v>
      </c>
      <c r="B7" s="4">
        <v>46255.6171875</v>
      </c>
      <c r="C7" s="5">
        <v>46255.6171875</v>
      </c>
    </row>
    <row r="8" spans="1:3" x14ac:dyDescent="0.25">
      <c r="A8" t="s">
        <v>67</v>
      </c>
      <c r="B8" s="4">
        <f>NOW()</f>
        <v>46255.6171875</v>
      </c>
      <c r="C8" s="5">
        <f>NOW()</f>
        <v>46255.6171875</v>
      </c>
    </row>
    <row r="9" spans="1:2" x14ac:dyDescent="0.25">
      <c r="A9" t="s">
        <v>68</v>
      </c>
      <c r="B9" t="str">
        <f>IF(C8&gt;C7+TIME(0,0,15),"⚠ Recalculated since Saved — totals may be stale, re-run the generator script","✓ Up to date as of Saved")</f>
        <v>✓ Up to date as of Saved</v>
      </c>
    </row>
    <row r="10" spans="1:1" x14ac:dyDescent="0.25">
      <c r="A10" t="s">
        <v>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7" customWidth="1"/>
    <col min="6" max="6" width="12" customWidth="1"/>
    <col min="7" max="7" width="17" customWidth="1"/>
    <col min="8" max="8" width="14" customWidth="1"/>
    <col min="9" max="9" width="8" customWidth="1"/>
  </cols>
  <sheetData>
    <row r="1" spans="1:9" s="3" customFormat="1" x14ac:dyDescent="0.25">
      <c r="A1" s="3" t="s">
        <v>55</v>
      </c>
      <c r="B1" s="3" t="s">
        <v>70</v>
      </c>
      <c r="C1" s="3" t="s">
        <v>71</v>
      </c>
      <c r="D1" s="3" t="s">
        <v>72</v>
      </c>
      <c r="E1" s="3" t="s">
        <v>73</v>
      </c>
      <c r="F1" s="3" t="s">
        <v>74</v>
      </c>
      <c r="G1" s="3" t="s">
        <v>75</v>
      </c>
      <c r="H1" s="3" t="s">
        <v>76</v>
      </c>
      <c r="I1" s="3" t="s">
        <v>62</v>
      </c>
    </row>
    <row r="2" spans="1:9" x14ac:dyDescent="0.25">
      <c r="A2" t="s">
        <v>63</v>
      </c>
      <c r="B2">
        <v>1</v>
      </c>
      <c r="C2">
        <v>2</v>
      </c>
      <c r="D2">
        <v>2</v>
      </c>
      <c r="E2">
        <v>2</v>
      </c>
      <c r="F2">
        <v>1</v>
      </c>
      <c r="G2">
        <v>1</v>
      </c>
      <c r="H2">
        <v>1</v>
      </c>
      <c r="I2">
        <v>10</v>
      </c>
    </row>
    <row r="3" spans="1:9" x14ac:dyDescent="0.25">
      <c r="A3" t="s">
        <v>64</v>
      </c>
      <c r="B3">
        <v>9</v>
      </c>
      <c r="C3">
        <v>8</v>
      </c>
      <c r="D3">
        <v>8</v>
      </c>
      <c r="E3">
        <v>7</v>
      </c>
      <c r="F3">
        <v>8</v>
      </c>
      <c r="G3">
        <v>0</v>
      </c>
      <c r="H3">
        <v>0</v>
      </c>
      <c r="I3">
        <v>40</v>
      </c>
    </row>
    <row r="4" spans="1:9" x14ac:dyDescent="0.25">
      <c r="A4" t="s">
        <v>65</v>
      </c>
      <c r="B4">
        <v>2</v>
      </c>
      <c r="C4">
        <v>2</v>
      </c>
      <c r="D4">
        <v>2</v>
      </c>
      <c r="E4">
        <v>3</v>
      </c>
      <c r="F4">
        <v>3</v>
      </c>
      <c r="G4">
        <v>1</v>
      </c>
      <c r="H4">
        <v>0</v>
      </c>
      <c r="I4">
        <v>13</v>
      </c>
    </row>
    <row r="5" spans="1:9" s="3" customFormat="1" x14ac:dyDescent="0.25">
      <c r="A5" s="3" t="s">
        <v>62</v>
      </c>
      <c r="B5" s="3">
        <v>12</v>
      </c>
      <c r="C5" s="3">
        <v>12</v>
      </c>
      <c r="D5" s="3">
        <v>12</v>
      </c>
      <c r="E5" s="3">
        <v>12</v>
      </c>
      <c r="F5" s="3">
        <v>12</v>
      </c>
      <c r="G5" s="3">
        <v>2</v>
      </c>
      <c r="H5" s="3">
        <v>1</v>
      </c>
      <c r="I5" s="3">
        <v>63</v>
      </c>
    </row>
    <row r="7" spans="1:3" x14ac:dyDescent="0.25">
      <c r="A7" t="s">
        <v>66</v>
      </c>
      <c r="B7" s="4">
        <v>46255.6171875</v>
      </c>
      <c r="C7" s="5">
        <v>46255.6171875</v>
      </c>
    </row>
    <row r="8" spans="1:3" x14ac:dyDescent="0.25">
      <c r="A8" t="s">
        <v>67</v>
      </c>
      <c r="B8" s="4">
        <f>NOW()</f>
        <v>46255.6171875</v>
      </c>
      <c r="C8" s="5">
        <f>NOW()</f>
        <v>46255.6171875</v>
      </c>
    </row>
    <row r="9" spans="1:2" x14ac:dyDescent="0.25">
      <c r="A9" t="s">
        <v>68</v>
      </c>
      <c r="B9" t="str">
        <f>IF(C8&gt;C7+TIME(0,0,15),"⚠ Recalculated since Saved — totals may be stale, re-run the generator script","✓ Up to date as of Saved")</f>
        <v>✓ Up to date as of Saved</v>
      </c>
    </row>
    <row r="10" spans="1:1" x14ac:dyDescent="0.25">
      <c r="A10" t="s">
        <v>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Friday October 9</vt:lpstr>
      <vt:lpstr>Saturday October 10</vt:lpstr>
      <vt:lpstr>Sunday October 11</vt:lpstr>
      <vt:lpstr>- Hours by Level</vt:lpstr>
      <vt:lpstr>- Hours by Caller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2026-08-10T05:10:10Z</dcterms:created>
  <dcterms:modified xsi:type="dcterms:W3CDTF">2026-08-21T21:47:34Z</dcterms:modified>
</cp:coreProperties>
</file>