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20" windowWidth="34900" windowHeight="19580" activeTab="2"/>
  </bookViews>
  <sheets>
    <sheet sheetId="1" name="Thursday July 2" state="visible" r:id="rId4"/>
    <sheet sheetId="2" name="Friday July 3" state="visible" r:id="rId5"/>
    <sheet sheetId="3" name="Saturday July 4" state="visible" r:id="rId6"/>
    <sheet sheetId="4" name="- Hours by Level" state="visible" r:id="rId7"/>
    <sheet sheetId="5" name="- Hours by Caller" state="visible" r:id="rId8"/>
  </sheets>
  <calcPr calcId="171027"/>
</workbook>
</file>

<file path=xl/sharedStrings.xml><?xml version="1.0" encoding="utf-8"?>
<sst xmlns="http://schemas.openxmlformats.org/spreadsheetml/2006/main" count="287" uniqueCount="240">
  <si>
    <t>Time</t>
  </si>
  <si>
    <t>Ballroom Centre</t>
  </si>
  <si>
    <t>Ballroom East</t>
  </si>
  <si>
    <t>Ballroom West</t>
  </si>
  <si>
    <t>Drummond Ballroom</t>
  </si>
  <si>
    <t>Hemon</t>
  </si>
  <si>
    <t>Jarry/Joyce</t>
  </si>
  <si>
    <t>Kafka/Lamartine</t>
  </si>
  <si>
    <t>Salon 6/7</t>
  </si>
  <si>
    <t>Salon A-C</t>
  </si>
  <si>
    <t>12:30p-1:30p</t>
  </si>
  <si>
    <t xml:space="preserve">Plus : Dancing - Kris Jensen
GCA: Tim Stephens</t>
  </si>
  <si>
    <t xml:space="preserve">C3B : Dancing - Barry Clasper
GCA: Osamu Miyabe</t>
  </si>
  <si>
    <t xml:space="preserve">SSD : Dancing - Justin Russell
GCA: Patrick Aubert</t>
  </si>
  <si>
    <t>C1 &amp; C2 : Dancing - Vic Ceder</t>
  </si>
  <si>
    <t xml:space="preserve">A1 : Dancing - Michael Kellogg
GCA: Andy Chong</t>
  </si>
  <si>
    <t>1:30p-2:30p</t>
  </si>
  <si>
    <t xml:space="preserve">A2 : Dancing - Don Moger
GCA: Jenn Engimann</t>
  </si>
  <si>
    <t xml:space="preserve">C2 : Dancing - Rob French
GCA: Michael Maltenfort</t>
  </si>
  <si>
    <t>SSD : Skirt Work Hour - Wendy VanderMeulen</t>
  </si>
  <si>
    <t xml:space="preserve">Plus : Dancing - Michael Kellogg
GCA: Michael Levy</t>
  </si>
  <si>
    <t>SSD : Dancing - Ted Lizotte</t>
  </si>
  <si>
    <t xml:space="preserve">C3A : Dancing - Sandie Bryant
GCA: Jane Clewe</t>
  </si>
  <si>
    <t xml:space="preserve">C1 : Dancing - Kris Jensen
GCA: Fen Tamanaha</t>
  </si>
  <si>
    <t>2:30p-3:30p</t>
  </si>
  <si>
    <t xml:space="preserve">A1 : Dancing - Ted Lizotte
GCA: Terri Sherrer</t>
  </si>
  <si>
    <t xml:space="preserve">C2 : Dancing - Kris Jensen
GCA: Andy Chong</t>
  </si>
  <si>
    <t xml:space="preserve">Plus : Dancing - Wendy VanderMeulen
GCA: Karla Westphal</t>
  </si>
  <si>
    <t xml:space="preserve">SSD : Dancing - Michael Kellogg
GCA: John Ryan</t>
  </si>
  <si>
    <t xml:space="preserve">C3B : Dancing - Rob French
GCA: John Hawley</t>
  </si>
  <si>
    <t xml:space="preserve">C1 : Dancing - Don Moger
GCA: Rick Hawes</t>
  </si>
  <si>
    <t>3:30p-4:30p</t>
  </si>
  <si>
    <t xml:space="preserve">A2 : Dancing - Rob French
GCA: Michael Maltenfort</t>
  </si>
  <si>
    <t xml:space="preserve">C2 : Dancing - Sandie Bryant
GCA: Dave Decot</t>
  </si>
  <si>
    <t xml:space="preserve">Plus : Dancing - Justin Russell
GCA: Mary Thurston</t>
  </si>
  <si>
    <t xml:space="preserve">SSD : Dancing - Wendy VanderMeulen
GCA: Tim Stephens</t>
  </si>
  <si>
    <t xml:space="preserve">C4 : Dancing - Vic Ceder
GCA: John Ryan</t>
  </si>
  <si>
    <t xml:space="preserve">C1 : Dancing - Barry Clasper
GCA: Jane Clewe</t>
  </si>
  <si>
    <t>7:00p-8:00p</t>
  </si>
  <si>
    <t xml:space="preserve">A2 : Dancing - Ted Lizotte
GCA: Rick Hawes</t>
  </si>
  <si>
    <t xml:space="preserve">C2 : Dancing - Rob French
GCA: Kent Forrester</t>
  </si>
  <si>
    <t>SSD : Leather Tip - Michael Kellogg &amp; Terri Sherrer</t>
  </si>
  <si>
    <t xml:space="preserve">Plus : Dancing - Don Moger
GCA: David Hartman</t>
  </si>
  <si>
    <t xml:space="preserve">SSD : Dancing - Justin Russell
GCA: Mike Neiheisel</t>
  </si>
  <si>
    <t xml:space="preserve">C3A : Dancing - Vic Ceder
GCA: John Hawley</t>
  </si>
  <si>
    <t>Various : Zoom Reunion Hour - Ett McAtee</t>
  </si>
  <si>
    <t xml:space="preserve">C1 : Dancing - Sandie Bryant
GCA: Osamu Miyabe</t>
  </si>
  <si>
    <t>8:00p-9:00p</t>
  </si>
  <si>
    <t xml:space="preserve">A1 : Dancing - Kris Jensen
GCA: Karla Westphal</t>
  </si>
  <si>
    <t xml:space="preserve">C2 : Dancing - Don Moger
GCA: John Hawley</t>
  </si>
  <si>
    <t xml:space="preserve">Plus : Dancing - Justin Russell
GCA: Janienne A-K</t>
  </si>
  <si>
    <t xml:space="preserve">SSD : Dancing - Vic Ceder
GCA: Rick Hawes</t>
  </si>
  <si>
    <t xml:space="preserve">C3B : Dancing - Sandie Bryant
GCA: Michael Maltenfort</t>
  </si>
  <si>
    <t xml:space="preserve">C1 : Dancing - Ted Lizotte
GCA: Brian Jarvis</t>
  </si>
  <si>
    <t>9:00p-10:00p</t>
  </si>
  <si>
    <t xml:space="preserve">A2 : Dancing - Justin Russell
GCA: David Hartman</t>
  </si>
  <si>
    <t xml:space="preserve">C2 : Dancing - Barry Clasper
GCA: Jane Clewe</t>
  </si>
  <si>
    <t>SSD : Glowstick Hour - Dave Hutchinson</t>
  </si>
  <si>
    <t xml:space="preserve">Plus : Dancing - Ted Lizotte
GCA: Mary Thurston</t>
  </si>
  <si>
    <t xml:space="preserve">SSD : Dancing - Kris Jensen
GCA: Patti Cummings</t>
  </si>
  <si>
    <t xml:space="preserve">C4 : Dancing - Rob French
GCA: Bill van Melle</t>
  </si>
  <si>
    <t xml:space="preserve">C1 : Dancing - Michael Kellogg
GCA: Michel Maltenfort</t>
  </si>
  <si>
    <t>10:00p-11:00p</t>
  </si>
  <si>
    <t>SSD : Zombie Callers - Various</t>
  </si>
  <si>
    <t>4:30p-7:00p</t>
  </si>
  <si>
    <t xml:space="preserve">* Dinner Break
ROOMS: NONE</t>
  </si>
  <si>
    <t>8:30-10:00a</t>
  </si>
  <si>
    <t>* Brunch</t>
  </si>
  <si>
    <t>"</t>
  </si>
  <si>
    <t>10:15a-11:00a</t>
  </si>
  <si>
    <t>SSD : All Callers Dance - All Callers</t>
  </si>
  <si>
    <t>11:00a-12:00p</t>
  </si>
  <si>
    <t xml:space="preserve">C1 : Dancing - Sandie Bryant
GCA: Michael Levy</t>
  </si>
  <si>
    <t xml:space="preserve">Plus : Dancing - Ted Lizotte
GCA: Karla Westphal</t>
  </si>
  <si>
    <t>C3A : Dancing - Don Moger</t>
  </si>
  <si>
    <t xml:space="preserve">SSD : Dancing - Dayle Hodge
GCA: Tim Stephens</t>
  </si>
  <si>
    <t>C2 : Dancing - Michael Kellogg</t>
  </si>
  <si>
    <t xml:space="preserve">A2 : Dancing - Justin Russell
GCA: Osamu Miyabe</t>
  </si>
  <si>
    <t xml:space="preserve">A2 : Dancing - Ted Lizotte
GCA: Dave Decot</t>
  </si>
  <si>
    <t xml:space="preserve">C2 : Dancing - Vic Ceder
GCA: Terri Sherrer</t>
  </si>
  <si>
    <t>SSD : Women's Tip - Jenn Engimann &amp; Marge Coahran</t>
  </si>
  <si>
    <t xml:space="preserve">Plus : Dancing - Kris Jensen
GCA: David Hartman</t>
  </si>
  <si>
    <t xml:space="preserve">SSD : Dancing - Don Moger
GCA: J.M. Robichaud</t>
  </si>
  <si>
    <t xml:space="preserve">C3A : Dancing - Sandie Bryant
GCA: Osamu Miyabe</t>
  </si>
  <si>
    <t xml:space="preserve">C1 : Dancing - Michael Kellogg
GCA: Kent Forrester</t>
  </si>
  <si>
    <t xml:space="preserve">A1 : Dancing - Justin Russell
GCA: Osamu Miyabe</t>
  </si>
  <si>
    <t xml:space="preserve">C2 : Dancing - Barry Clasper
GCA: John Hawley</t>
  </si>
  <si>
    <t xml:space="preserve">Plus : Dancing - Ted Lizotte
GCA: Allan Hurst</t>
  </si>
  <si>
    <t xml:space="preserve">SSD : Dancing - Michael Kellogg
GCA: Kurt Gollhardt</t>
  </si>
  <si>
    <t xml:space="preserve">C3B : Dancing - Vic Ceder
GCA: Harlan Kerr</t>
  </si>
  <si>
    <t xml:space="preserve">C1 : Dancing - Rob French
GCA: Bill van Melle</t>
  </si>
  <si>
    <t xml:space="preserve">A2 : Dancing - Sandie Bryant
GCA: Harlan Kerr</t>
  </si>
  <si>
    <t xml:space="preserve">C2 : Dancing - Don Moger
GCA: Andy Chong</t>
  </si>
  <si>
    <t>SSD : Bear Tip - Kurt Gollhardt</t>
  </si>
  <si>
    <t xml:space="preserve">Plus : Dancing - Michael Kellogg
GCA: Jenn Engimann</t>
  </si>
  <si>
    <t xml:space="preserve">SSD : Dancing - Kris Jensen
GCA: Allan Hurst</t>
  </si>
  <si>
    <t xml:space="preserve">C4 : Dancing - Rob French
GCA: Jane Clewe</t>
  </si>
  <si>
    <t xml:space="preserve">C1 : Dancing - Ted Lizotte
GCA: Dave Decot</t>
  </si>
  <si>
    <t xml:space="preserve">A2 : Intro to C1 - Vic Ceder
GCA: David Hartman</t>
  </si>
  <si>
    <t>C2 : Dancing - Sandie Bryant</t>
  </si>
  <si>
    <t>Intro : Intro to Square Dancing - Don Moger</t>
  </si>
  <si>
    <t>Plus : Intro to A1 - Rick Hawes</t>
  </si>
  <si>
    <t xml:space="preserve">SSD : Dancing - Dave Hutchinson
GCA: Greg Moore</t>
  </si>
  <si>
    <t xml:space="preserve">C3A : Dancing - Rob French
GCA: Jane Clewe</t>
  </si>
  <si>
    <t xml:space="preserve">C1 : Dancing - Kris Jensen
GCA: Andy Chong</t>
  </si>
  <si>
    <t xml:space="preserve">A1 : Dancing - Barry Clasper
GCA: Karla Westphal</t>
  </si>
  <si>
    <t xml:space="preserve">C2 : Dancing - Michael Kellogg
GCA: Osamu Miyabe</t>
  </si>
  <si>
    <t xml:space="preserve">Plus : Dancing - Justin Russell
GCA: Tim Stephens</t>
  </si>
  <si>
    <t xml:space="preserve">SSD : Intro to Plus - Ted Lizotte
GCA: Patrick Aubert</t>
  </si>
  <si>
    <t xml:space="preserve">C3B : Dancing - Sandie Bryant
GCA: Bill van Melle</t>
  </si>
  <si>
    <t xml:space="preserve">C1 : Dancing - Rob French
GCA: Jenn Engimann</t>
  </si>
  <si>
    <t xml:space="preserve">A2 : Dancing - Michael Kellogg
GCA: Kurt Gollhardt</t>
  </si>
  <si>
    <t>C2 : Dancing - Kris Jensen</t>
  </si>
  <si>
    <t xml:space="preserve">Plus : Dancing - Sandie Bryant
GCA: Mike Neiheisel</t>
  </si>
  <si>
    <t xml:space="preserve">SSD : Dancing - Justin Russell
GCA: Greg Moore</t>
  </si>
  <si>
    <t xml:space="preserve">C4 : Dancing - Barry Clasper
GCA: Harlan Kerr</t>
  </si>
  <si>
    <t xml:space="preserve">C1 : Dancing - Vic Ceder
GCA: Rick Hawes</t>
  </si>
  <si>
    <t>SSD : Moonshine Tip - Dayle Hodge &amp; Karla Westphal</t>
  </si>
  <si>
    <t>12:00p-1:30p</t>
  </si>
  <si>
    <t xml:space="preserve">* Lunch Break
ROOMS: NONE</t>
  </si>
  <si>
    <t>9:00a-10:00a</t>
  </si>
  <si>
    <t xml:space="preserve">A2 : Dancing - Michael Kellogg
GCA: Karla Westphal</t>
  </si>
  <si>
    <t>C2 : Dancing - Rob French</t>
  </si>
  <si>
    <t>A1/A2 : Advanced Hothash - Justin Russell</t>
  </si>
  <si>
    <t xml:space="preserve">Plus : Dancing - Vic Ceder
GCA: David Hartman</t>
  </si>
  <si>
    <t xml:space="preserve">SSD : Dancing - Kris Jensen
GCA: Karin Rabe</t>
  </si>
  <si>
    <t xml:space="preserve">C3A : Dancing - Barry Clasper
GCA: Michael Maltenfort</t>
  </si>
  <si>
    <t xml:space="preserve">C1 : Dancing - Ted Lizotte
GCA: Kent Forrester</t>
  </si>
  <si>
    <t>10:00a-11:00a</t>
  </si>
  <si>
    <t xml:space="preserve">A2 : Dancing - Barry Clasper
GCA: Dave Decot</t>
  </si>
  <si>
    <t xml:space="preserve">C2 : Dancing - Kris Jensen
GCA: Osamu Miyabe</t>
  </si>
  <si>
    <t xml:space="preserve">Plus : Plus TNP - Ted Lizotte
GCA: Michael Levy</t>
  </si>
  <si>
    <t xml:space="preserve">Plus : Dancing - Justin Russell
GCA: Michael Maltenfort</t>
  </si>
  <si>
    <t>* Intro to calling - Bill Eyler</t>
  </si>
  <si>
    <t xml:space="preserve">SSD : Dancing - Vic Ceder
GCA: Kent Forrester</t>
  </si>
  <si>
    <t xml:space="preserve">C3B : Dancing - Rob French
GCA: Ryo Sasaki</t>
  </si>
  <si>
    <t xml:space="preserve">C1 : Dancing - Don Moger
GCA: Harlan Kerr</t>
  </si>
  <si>
    <t>A1 : Dancing - Ted Lizotte</t>
  </si>
  <si>
    <t xml:space="preserve">C2 : Dancing - Vic Ceder
GCA: Fen Tamanaha</t>
  </si>
  <si>
    <t>SSD : Kilt Tip - Brian Crawford</t>
  </si>
  <si>
    <t xml:space="preserve">Plus : Dancing - Don Moger
GCA: Karin Rabe</t>
  </si>
  <si>
    <t xml:space="preserve">SSD : Dancing - Allan Hurst
GCA: Patrick Aubert</t>
  </si>
  <si>
    <t>C4 : Dancing - Sandie Bryant</t>
  </si>
  <si>
    <t>C2 : Dancing - Dave Hutchinson</t>
  </si>
  <si>
    <t>A2 : Dancing - Kris Jensen</t>
  </si>
  <si>
    <t>2:00p-3:00p</t>
  </si>
  <si>
    <t>Plus : Dancing - Sandie Bryant</t>
  </si>
  <si>
    <t>C3A : Dancing - Michael Kellogg</t>
  </si>
  <si>
    <t>C1 : Dancing - Dayle Hodge</t>
  </si>
  <si>
    <t>3:00p-4:00p</t>
  </si>
  <si>
    <t xml:space="preserve">Plus : Dancing - Brian Crawford
GCA: Rick Hawes</t>
  </si>
  <si>
    <t xml:space="preserve">C3B : Dancing - Barry Clasper
GCA: Harlan Kerr</t>
  </si>
  <si>
    <t xml:space="preserve">SSD : Dancing - Michael Kellogg
GCA: Patti Cummings</t>
  </si>
  <si>
    <t xml:space="preserve">C1 : Dancing - Rob French
GCA: Osamu Miyabe</t>
  </si>
  <si>
    <t xml:space="preserve">C2 : Dancing - Dayle Hodge
GCA: Bill van Melle</t>
  </si>
  <si>
    <t xml:space="preserve">Plus : Dancing - Sandie Bryant
GCA: David Hartman</t>
  </si>
  <si>
    <t>4:00p-5:00p</t>
  </si>
  <si>
    <t>C4 : Dancing - Vic Ceder</t>
  </si>
  <si>
    <t xml:space="preserve">SSD : Dancing - Justin Russell
GCA: Brian Jarvis</t>
  </si>
  <si>
    <t xml:space="preserve">C1 &amp; C2 : Dancing - Kris Jensen
GCA: Jenn Engimann</t>
  </si>
  <si>
    <t xml:space="preserve">Plus : Dancing - Dayle Hodge
GCA: Michael Maltenfort</t>
  </si>
  <si>
    <t xml:space="preserve">A2 : Dancing - Sandie Bryant
GCA: David Hartman</t>
  </si>
  <si>
    <t>8:00p-8:30p</t>
  </si>
  <si>
    <t>Plus : Medallion Tip - Vic Ceder</t>
  </si>
  <si>
    <t>SSD : GCA Caller Showcase Dance - Janienne Alexander</t>
  </si>
  <si>
    <t>C1 : GCA Caller Showcase Dance - Bill van Melle</t>
  </si>
  <si>
    <t>A1/A2 : GCA Caller Showcase Dance - David Hartman</t>
  </si>
  <si>
    <t>Plus : GCA Caller Showcase Dance - Michael Levy</t>
  </si>
  <si>
    <t>8:30p-9:00p</t>
  </si>
  <si>
    <t>SSD : GCA Caller Showcase Dance - Brian Jarvis</t>
  </si>
  <si>
    <t>C1 &amp; C2 : GCA Caller Showcase Dance - John Hawley</t>
  </si>
  <si>
    <t>A1/A2 : GCA Caller Showcase Dance - Michael Maltenfort</t>
  </si>
  <si>
    <t>Plus : GCA Caller Showcase Dance - Rick Hawes</t>
  </si>
  <si>
    <t>9:00p-9:30p</t>
  </si>
  <si>
    <t>* Country Western Dance - until 1am</t>
  </si>
  <si>
    <t>SSD : GCA Caller Showcase Dance - Tim Stephens</t>
  </si>
  <si>
    <t>C1 : GCA Caller Showcase Dance - Ryo Sasaki</t>
  </si>
  <si>
    <t>A1/A2 : GCA Caller Showcase Dance - Allan Hurst</t>
  </si>
  <si>
    <t>Plus : GCA Caller Showcase Dance - Karla Westphal</t>
  </si>
  <si>
    <t>9:30p-10:00p</t>
  </si>
  <si>
    <t>SSD : GCA Caller Showcase Dance - Patrick Aubert</t>
  </si>
  <si>
    <t>C3A : GCA Caller Showcase Dance - Jane Clewe</t>
  </si>
  <si>
    <t>A1/A2 : GCA Caller Showcase Dance - Kurt Gollhardt</t>
  </si>
  <si>
    <t>Plus : GCA Caller Showcase Dance - Karin Rabe &amp; Greg Moore</t>
  </si>
  <si>
    <t>12:00p-2:00p</t>
  </si>
  <si>
    <t>5:00p-8:00p</t>
  </si>
  <si>
    <t>Date</t>
  </si>
  <si>
    <t>SSD</t>
  </si>
  <si>
    <t>Plus</t>
  </si>
  <si>
    <t>A1</t>
  </si>
  <si>
    <t>A2</t>
  </si>
  <si>
    <t>C1</t>
  </si>
  <si>
    <t>C2</t>
  </si>
  <si>
    <t>C3A</t>
  </si>
  <si>
    <t>C3B</t>
  </si>
  <si>
    <t>C4</t>
  </si>
  <si>
    <t>Intro</t>
  </si>
  <si>
    <t>Various</t>
  </si>
  <si>
    <t>Total</t>
  </si>
  <si>
    <t>Thu, Jul 2</t>
  </si>
  <si>
    <t>Fri, Jul 3</t>
  </si>
  <si>
    <t>Sat, Jul 4</t>
  </si>
  <si>
    <t>Generated by scripts/generate-dance-schedule-hour-tabs.ts — re-run after editing any day's schedule.</t>
  </si>
  <si>
    <t>Calculated at:</t>
  </si>
  <si>
    <t>Status:</t>
  </si>
  <si>
    <t>Kris Jensen</t>
  </si>
  <si>
    <t>Sandie Bryant</t>
  </si>
  <si>
    <t>Ted Lizotte</t>
  </si>
  <si>
    <t>Michael Kellogg</t>
  </si>
  <si>
    <t>Vic Ceder</t>
  </si>
  <si>
    <t>Justin Russell</t>
  </si>
  <si>
    <t>Rob French</t>
  </si>
  <si>
    <t>Don Moger</t>
  </si>
  <si>
    <t>Barry Clasper</t>
  </si>
  <si>
    <t>Dayle Hodge</t>
  </si>
  <si>
    <t>Dave Hutchinson</t>
  </si>
  <si>
    <t>Wendy VanderMeulen</t>
  </si>
  <si>
    <t>Brian Crawford</t>
  </si>
  <si>
    <t>Allan Hurst</t>
  </si>
  <si>
    <t>Kurt Gollhardt</t>
  </si>
  <si>
    <t>Rick Hawes</t>
  </si>
  <si>
    <t>Ett McAtee</t>
  </si>
  <si>
    <t>Karla Westphal</t>
  </si>
  <si>
    <t>All Callers</t>
  </si>
  <si>
    <t>Jenn Engimann</t>
  </si>
  <si>
    <t>Marge Coahran</t>
  </si>
  <si>
    <t>Terri Sherrer</t>
  </si>
  <si>
    <t>Bill van Melle</t>
  </si>
  <si>
    <t>Brian Jarvis</t>
  </si>
  <si>
    <t>David Hartman</t>
  </si>
  <si>
    <t>Jane Clewe</t>
  </si>
  <si>
    <t>Janienne Alexander</t>
  </si>
  <si>
    <t>John Hawley</t>
  </si>
  <si>
    <t>Michael Levy</t>
  </si>
  <si>
    <t>Michael Maltenfort</t>
  </si>
  <si>
    <t>Patrick Aubert</t>
  </si>
  <si>
    <t>Ryo Sasaki</t>
  </si>
  <si>
    <t>Tim Stephens</t>
  </si>
  <si>
    <t>Greg Moore</t>
  </si>
  <si>
    <t>Karin Rabe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</si>
</sst>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"/>
  </numFmts>
  <fonts count="6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Arial"/>
    </font>
    <font>
      <b/>
      <family val="2"/>
      <sz val="10"/>
      <name val="Arial"/>
    </font>
    <font>
      <family val="2"/>
      <sz val="10"/>
      <name val="Arial"/>
    </font>
    <font>
      <color rgb="FF000000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/>
    <xf numFmtId="164" fontId="0" fillId="0" borderId="0" xfId="0" applyNumberFormat="1"/>
    <xf numFmtId="0" fontId="5" fillId="0" borderId="0" xfId="0" applyFont="1"/>
    <xf numFmtId="164" fontId="5" fillId="0" borderId="0" xfId="0" applyNumberFormat="1" applyFont="1"/>
    <xf numFmtId="164" fontId="5" fillId="0" borderId="2" xfId="0" applyNumberFormat="1" applyFont="1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 zoomScaleNormal="100">
      <pane xSplit="1" ySplit="1" topLeftCell="B2" activePane="bottomRight" state="frozen"/>
      <selection pane="bottomRight" activeCell="B10" sqref="B10"/>
    </sheetView>
  </sheetViews>
  <sheetFormatPr defaultRowHeight="15" outlineLevelRow="0" outlineLevelCol="0" x14ac:dyDescent="0.2" defaultColWidth="8.83203125"/>
  <cols>
    <col min="1" max="1" width="14" customWidth="1"/>
    <col min="2" max="10" width="26" customWidth="1"/>
  </cols>
  <sheetData>
    <row r="1" ht="30" customHeight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48" customHeight="1" spans="1:10" x14ac:dyDescent="0.25">
      <c r="A2" s="3" t="s">
        <v>10</v>
      </c>
      <c r="B2" s="4"/>
      <c r="C2" s="4"/>
      <c r="D2" s="4"/>
      <c r="E2" s="4" t="s">
        <v>11</v>
      </c>
      <c r="F2" s="4" t="s">
        <v>12</v>
      </c>
      <c r="G2" s="4" t="s">
        <v>13</v>
      </c>
      <c r="H2" s="4" t="s">
        <v>14</v>
      </c>
      <c r="I2" s="4"/>
      <c r="J2" s="4" t="s">
        <v>15</v>
      </c>
    </row>
    <row r="3" ht="48" customHeight="1" spans="1:10" x14ac:dyDescent="0.25">
      <c r="A3" s="3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/>
      <c r="G3" s="4" t="s">
        <v>21</v>
      </c>
      <c r="H3" s="4" t="s">
        <v>22</v>
      </c>
      <c r="I3" s="4"/>
      <c r="J3" s="4" t="s">
        <v>23</v>
      </c>
    </row>
    <row r="4" ht="48" customHeight="1" spans="1:10" x14ac:dyDescent="0.25">
      <c r="A4" s="3" t="s">
        <v>24</v>
      </c>
      <c r="B4" s="4" t="s">
        <v>25</v>
      </c>
      <c r="C4" s="4" t="s">
        <v>26</v>
      </c>
      <c r="D4" s="4"/>
      <c r="E4" s="4" t="s">
        <v>27</v>
      </c>
      <c r="F4" s="4" t="s">
        <v>28</v>
      </c>
      <c r="G4" s="4"/>
      <c r="H4" s="4" t="s">
        <v>29</v>
      </c>
      <c r="I4" s="4"/>
      <c r="J4" s="4" t="s">
        <v>30</v>
      </c>
    </row>
    <row r="5" ht="48" customHeight="1" spans="1:10" x14ac:dyDescent="0.25">
      <c r="A5" s="3" t="s">
        <v>31</v>
      </c>
      <c r="B5" s="4" t="s">
        <v>32</v>
      </c>
      <c r="C5" s="4" t="s">
        <v>33</v>
      </c>
      <c r="D5" s="4"/>
      <c r="E5" s="4" t="s">
        <v>34</v>
      </c>
      <c r="F5" s="4" t="s">
        <v>35</v>
      </c>
      <c r="G5" s="4"/>
      <c r="H5" s="4" t="s">
        <v>36</v>
      </c>
      <c r="I5" s="4" t="s">
        <v>30</v>
      </c>
      <c r="J5" s="4" t="s">
        <v>37</v>
      </c>
    </row>
    <row r="6" ht="48" customHeight="1" spans="1:10" x14ac:dyDescent="0.25">
      <c r="A6" s="3" t="s">
        <v>38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43</v>
      </c>
      <c r="G6" s="4"/>
      <c r="H6" s="4" t="s">
        <v>44</v>
      </c>
      <c r="I6" s="4" t="s">
        <v>45</v>
      </c>
      <c r="J6" s="4" t="s">
        <v>46</v>
      </c>
    </row>
    <row r="7" ht="48" customHeight="1" spans="1:10" x14ac:dyDescent="0.25">
      <c r="A7" s="3" t="s">
        <v>47</v>
      </c>
      <c r="B7" s="4" t="s">
        <v>48</v>
      </c>
      <c r="C7" s="4" t="s">
        <v>49</v>
      </c>
      <c r="D7" s="4"/>
      <c r="E7" s="4" t="s">
        <v>50</v>
      </c>
      <c r="F7" s="4" t="s">
        <v>51</v>
      </c>
      <c r="G7" s="4"/>
      <c r="H7" s="4" t="s">
        <v>52</v>
      </c>
      <c r="I7" s="4"/>
      <c r="J7" s="4" t="s">
        <v>53</v>
      </c>
    </row>
    <row r="8" ht="48" customHeight="1" spans="1:10" x14ac:dyDescent="0.25">
      <c r="A8" s="3" t="s">
        <v>54</v>
      </c>
      <c r="B8" s="4" t="s">
        <v>55</v>
      </c>
      <c r="C8" s="4" t="s">
        <v>56</v>
      </c>
      <c r="D8" s="4" t="s">
        <v>57</v>
      </c>
      <c r="E8" s="4" t="s">
        <v>58</v>
      </c>
      <c r="F8" s="4" t="s">
        <v>59</v>
      </c>
      <c r="G8" s="4"/>
      <c r="H8" s="4" t="s">
        <v>60</v>
      </c>
      <c r="I8" s="4"/>
      <c r="J8" s="4" t="s">
        <v>61</v>
      </c>
    </row>
    <row r="9" ht="48" customHeight="1" spans="1:10" x14ac:dyDescent="0.25">
      <c r="A9" s="3" t="s">
        <v>62</v>
      </c>
      <c r="B9" s="4"/>
      <c r="C9" s="4"/>
      <c r="D9" s="4"/>
      <c r="E9" s="4"/>
      <c r="F9" s="4" t="s">
        <v>63</v>
      </c>
      <c r="G9" s="4"/>
      <c r="H9" s="4"/>
      <c r="I9" s="4"/>
      <c r="J9" s="4"/>
    </row>
    <row r="10" ht="28" customHeight="1" spans="1:9" x14ac:dyDescent="0.25">
      <c r="A10" s="5" t="s">
        <v>64</v>
      </c>
      <c r="B10" s="6" t="s">
        <v>65</v>
      </c>
      <c r="C10" s="7"/>
      <c r="D10" s="7"/>
      <c r="E10" s="7"/>
      <c r="F10" s="7"/>
      <c r="G10" s="7"/>
      <c r="H10" s="7"/>
      <c r="I10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zoomScale="100" zoomScaleNormal="100">
      <pane xSplit="1" ySplit="1" topLeftCell="B2" activePane="bottomRight" state="frozen"/>
      <selection pane="bottomRight" activeCell="A13" sqref="A13"/>
    </sheetView>
  </sheetViews>
  <sheetFormatPr defaultRowHeight="15" outlineLevelRow="0" outlineLevelCol="0" x14ac:dyDescent="0.2" defaultColWidth="8.83203125"/>
  <cols>
    <col min="1" max="1" width="14" customWidth="1"/>
    <col min="2" max="9" width="26" customWidth="1"/>
  </cols>
  <sheetData>
    <row r="1" ht="30" customHeight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</row>
    <row r="2" ht="48" customHeight="1" spans="1:9" x14ac:dyDescent="0.25">
      <c r="A2" s="3" t="s">
        <v>66</v>
      </c>
      <c r="B2" s="4" t="s">
        <v>67</v>
      </c>
      <c r="C2" s="4" t="s">
        <v>68</v>
      </c>
      <c r="D2" s="4" t="s">
        <v>68</v>
      </c>
      <c r="E2" s="4"/>
      <c r="F2" s="4"/>
      <c r="G2" s="4"/>
      <c r="H2" s="4"/>
      <c r="I2" s="4"/>
    </row>
    <row r="3" ht="48" customHeight="1" spans="1:9" x14ac:dyDescent="0.25">
      <c r="A3" s="3" t="s">
        <v>69</v>
      </c>
      <c r="B3" s="4" t="s">
        <v>70</v>
      </c>
      <c r="C3" s="4" t="s">
        <v>68</v>
      </c>
      <c r="D3" s="4"/>
      <c r="E3" s="4"/>
      <c r="F3" s="4"/>
      <c r="G3" s="4"/>
      <c r="H3" s="4"/>
      <c r="I3" s="4"/>
    </row>
    <row r="4" ht="48" customHeight="1" spans="1:9" x14ac:dyDescent="0.25">
      <c r="A4" s="3" t="s">
        <v>71</v>
      </c>
      <c r="B4" s="4"/>
      <c r="C4" s="4" t="s">
        <v>72</v>
      </c>
      <c r="D4" s="4"/>
      <c r="E4" s="4" t="s">
        <v>73</v>
      </c>
      <c r="F4" s="4" t="s">
        <v>74</v>
      </c>
      <c r="G4" s="4" t="s">
        <v>75</v>
      </c>
      <c r="H4" s="4" t="s">
        <v>76</v>
      </c>
      <c r="I4" s="4" t="s">
        <v>77</v>
      </c>
    </row>
    <row r="5" ht="48" customHeight="1" spans="1:9" x14ac:dyDescent="0.25">
      <c r="A5" s="3" t="s">
        <v>16</v>
      </c>
      <c r="B5" s="4" t="s">
        <v>78</v>
      </c>
      <c r="C5" s="4" t="s">
        <v>79</v>
      </c>
      <c r="D5" s="4" t="s">
        <v>80</v>
      </c>
      <c r="E5" s="4" t="s">
        <v>81</v>
      </c>
      <c r="F5" s="4"/>
      <c r="G5" s="4" t="s">
        <v>82</v>
      </c>
      <c r="H5" s="4" t="s">
        <v>83</v>
      </c>
      <c r="I5" s="4" t="s">
        <v>84</v>
      </c>
    </row>
    <row r="6" ht="48" customHeight="1" spans="1:9" x14ac:dyDescent="0.25">
      <c r="A6" s="3" t="s">
        <v>24</v>
      </c>
      <c r="B6" s="4" t="s">
        <v>85</v>
      </c>
      <c r="C6" s="4" t="s">
        <v>86</v>
      </c>
      <c r="D6" s="4"/>
      <c r="E6" s="4" t="s">
        <v>87</v>
      </c>
      <c r="F6" s="4"/>
      <c r="G6" s="4" t="s">
        <v>88</v>
      </c>
      <c r="H6" s="4" t="s">
        <v>89</v>
      </c>
      <c r="I6" s="4" t="s">
        <v>90</v>
      </c>
    </row>
    <row r="7" ht="48" customHeight="1" spans="1:9" x14ac:dyDescent="0.25">
      <c r="A7" s="3" t="s">
        <v>31</v>
      </c>
      <c r="B7" s="4" t="s">
        <v>91</v>
      </c>
      <c r="C7" s="4" t="s">
        <v>92</v>
      </c>
      <c r="D7" s="4" t="s">
        <v>93</v>
      </c>
      <c r="E7" s="4" t="s">
        <v>94</v>
      </c>
      <c r="F7" s="4"/>
      <c r="G7" s="4" t="s">
        <v>95</v>
      </c>
      <c r="H7" s="4" t="s">
        <v>96</v>
      </c>
      <c r="I7" s="4" t="s">
        <v>97</v>
      </c>
    </row>
    <row r="8" ht="48" customHeight="1" spans="1:9" x14ac:dyDescent="0.25">
      <c r="A8" s="3" t="s">
        <v>38</v>
      </c>
      <c r="B8" s="4" t="s">
        <v>98</v>
      </c>
      <c r="C8" s="4" t="s">
        <v>99</v>
      </c>
      <c r="D8" s="4" t="s">
        <v>100</v>
      </c>
      <c r="E8" s="4" t="s">
        <v>101</v>
      </c>
      <c r="F8" s="4"/>
      <c r="G8" s="4" t="s">
        <v>102</v>
      </c>
      <c r="H8" s="4" t="s">
        <v>103</v>
      </c>
      <c r="I8" s="4" t="s">
        <v>104</v>
      </c>
    </row>
    <row r="9" ht="48" customHeight="1" spans="1:9" x14ac:dyDescent="0.25">
      <c r="A9" s="3" t="s">
        <v>47</v>
      </c>
      <c r="B9" s="4" t="s">
        <v>105</v>
      </c>
      <c r="C9" s="4" t="s">
        <v>106</v>
      </c>
      <c r="D9" s="4"/>
      <c r="E9" s="4" t="s">
        <v>107</v>
      </c>
      <c r="F9" s="4"/>
      <c r="G9" s="4" t="s">
        <v>108</v>
      </c>
      <c r="H9" s="4" t="s">
        <v>109</v>
      </c>
      <c r="I9" s="4" t="s">
        <v>110</v>
      </c>
    </row>
    <row r="10" ht="48" customHeight="1" spans="1:9" x14ac:dyDescent="0.25">
      <c r="A10" s="3" t="s">
        <v>54</v>
      </c>
      <c r="B10" s="4" t="s">
        <v>111</v>
      </c>
      <c r="C10" s="4" t="s">
        <v>112</v>
      </c>
      <c r="D10" s="4"/>
      <c r="E10" s="4" t="s">
        <v>113</v>
      </c>
      <c r="F10" s="4"/>
      <c r="G10" s="4" t="s">
        <v>114</v>
      </c>
      <c r="H10" s="4" t="s">
        <v>115</v>
      </c>
      <c r="I10" s="4" t="s">
        <v>116</v>
      </c>
    </row>
    <row r="11" ht="48" customHeight="1" spans="1:9" x14ac:dyDescent="0.25">
      <c r="A11" s="3" t="s">
        <v>62</v>
      </c>
      <c r="B11" s="4"/>
      <c r="C11" s="4"/>
      <c r="D11" s="4" t="s">
        <v>117</v>
      </c>
      <c r="E11" s="4"/>
      <c r="F11" s="4"/>
      <c r="G11" s="4"/>
      <c r="H11" s="4"/>
      <c r="I11" s="4"/>
    </row>
    <row r="12" ht="48" customHeight="1" spans="1:2" x14ac:dyDescent="0.25">
      <c r="A12" s="5" t="s">
        <v>118</v>
      </c>
      <c r="B12" s="6" t="s">
        <v>119</v>
      </c>
    </row>
    <row r="13" ht="48" customHeight="1" spans="1:2" x14ac:dyDescent="0.25">
      <c r="A13" s="5" t="s">
        <v>64</v>
      </c>
      <c r="B13" s="6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 zoomScaleNormal="100">
      <pane xSplit="1" ySplit="1" topLeftCell="B2" activePane="bottomRight" state="frozen"/>
      <selection pane="bottomRight" activeCell="A13" sqref="A13"/>
    </sheetView>
  </sheetViews>
  <sheetFormatPr defaultRowHeight="15" outlineLevelRow="0" outlineLevelCol="0" x14ac:dyDescent="0.2" defaultColWidth="8.83203125"/>
  <cols>
    <col min="1" max="1" width="14" customWidth="1"/>
    <col min="2" max="10" width="26" customWidth="1"/>
  </cols>
  <sheetData>
    <row r="1" ht="30" customHeight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48" customHeight="1" spans="1:10" x14ac:dyDescent="0.25">
      <c r="A2" s="3" t="s">
        <v>120</v>
      </c>
      <c r="B2" s="4" t="s">
        <v>121</v>
      </c>
      <c r="C2" s="4" t="s">
        <v>122</v>
      </c>
      <c r="D2" s="4" t="s">
        <v>123</v>
      </c>
      <c r="E2" s="4" t="s">
        <v>124</v>
      </c>
      <c r="F2" s="4"/>
      <c r="G2" s="4" t="s">
        <v>125</v>
      </c>
      <c r="H2" s="4" t="s">
        <v>126</v>
      </c>
      <c r="I2" s="4"/>
      <c r="J2" s="4" t="s">
        <v>127</v>
      </c>
    </row>
    <row r="3" ht="48" customHeight="1" spans="1:10" x14ac:dyDescent="0.25">
      <c r="A3" s="3" t="s">
        <v>128</v>
      </c>
      <c r="B3" s="4" t="s">
        <v>129</v>
      </c>
      <c r="C3" s="4" t="s">
        <v>130</v>
      </c>
      <c r="D3" s="4" t="s">
        <v>131</v>
      </c>
      <c r="E3" s="4" t="s">
        <v>132</v>
      </c>
      <c r="F3" s="4" t="s">
        <v>133</v>
      </c>
      <c r="G3" s="4" t="s">
        <v>134</v>
      </c>
      <c r="H3" s="4" t="s">
        <v>135</v>
      </c>
      <c r="I3" s="4"/>
      <c r="J3" s="4" t="s">
        <v>136</v>
      </c>
    </row>
    <row r="4" ht="48" customHeight="1" spans="1:10" x14ac:dyDescent="0.25">
      <c r="A4" s="3" t="s">
        <v>71</v>
      </c>
      <c r="B4" s="4" t="s">
        <v>137</v>
      </c>
      <c r="C4" s="4" t="s">
        <v>138</v>
      </c>
      <c r="D4" s="4" t="s">
        <v>139</v>
      </c>
      <c r="E4" s="4" t="s">
        <v>140</v>
      </c>
      <c r="F4" s="4"/>
      <c r="G4" s="4" t="s">
        <v>141</v>
      </c>
      <c r="H4" s="4" t="s">
        <v>142</v>
      </c>
      <c r="I4" s="4" t="s">
        <v>143</v>
      </c>
      <c r="J4" s="4" t="s">
        <v>144</v>
      </c>
    </row>
    <row r="5" ht="48" customHeight="1" spans="1:10" x14ac:dyDescent="0.25">
      <c r="A5" s="3" t="s">
        <v>145</v>
      </c>
      <c r="B5" s="4"/>
      <c r="C5" s="4"/>
      <c r="D5" s="4"/>
      <c r="E5" s="4" t="s">
        <v>146</v>
      </c>
      <c r="F5" s="4" t="s">
        <v>147</v>
      </c>
      <c r="G5" s="4" t="s">
        <v>21</v>
      </c>
      <c r="H5" s="4" t="s">
        <v>148</v>
      </c>
      <c r="I5" s="4" t="s">
        <v>144</v>
      </c>
      <c r="J5" s="4"/>
    </row>
    <row r="6" ht="48" customHeight="1" spans="1:10" x14ac:dyDescent="0.25">
      <c r="A6" s="3" t="s">
        <v>149</v>
      </c>
      <c r="B6" s="4"/>
      <c r="C6" s="4"/>
      <c r="D6" s="4"/>
      <c r="E6" s="4" t="s">
        <v>150</v>
      </c>
      <c r="F6" s="4" t="s">
        <v>151</v>
      </c>
      <c r="G6" s="4" t="s">
        <v>152</v>
      </c>
      <c r="H6" s="4" t="s">
        <v>153</v>
      </c>
      <c r="I6" s="4" t="s">
        <v>154</v>
      </c>
      <c r="J6" s="4" t="s">
        <v>155</v>
      </c>
    </row>
    <row r="7" ht="48" customHeight="1" spans="1:10" x14ac:dyDescent="0.25">
      <c r="A7" s="3" t="s">
        <v>156</v>
      </c>
      <c r="B7" s="4"/>
      <c r="C7" s="4"/>
      <c r="D7" s="4"/>
      <c r="E7" s="4" t="s">
        <v>157</v>
      </c>
      <c r="F7" s="4" t="s">
        <v>158</v>
      </c>
      <c r="G7" s="4" t="s">
        <v>159</v>
      </c>
      <c r="H7" s="4" t="s">
        <v>160</v>
      </c>
      <c r="I7" s="4"/>
      <c r="J7" s="4" t="s">
        <v>161</v>
      </c>
    </row>
    <row r="8" ht="48" customHeight="1" spans="1:10" x14ac:dyDescent="0.25">
      <c r="A8" s="3" t="s">
        <v>162</v>
      </c>
      <c r="B8" s="4"/>
      <c r="C8" s="4"/>
      <c r="D8" s="4"/>
      <c r="E8" s="4" t="s">
        <v>163</v>
      </c>
      <c r="F8" s="4" t="s">
        <v>164</v>
      </c>
      <c r="G8" s="4" t="s">
        <v>165</v>
      </c>
      <c r="H8" s="4" t="s">
        <v>166</v>
      </c>
      <c r="I8" s="4"/>
      <c r="J8" s="4" t="s">
        <v>167</v>
      </c>
    </row>
    <row r="9" ht="48" customHeight="1" spans="1:10" x14ac:dyDescent="0.25">
      <c r="A9" s="3" t="s">
        <v>168</v>
      </c>
      <c r="B9" s="4"/>
      <c r="C9" s="4"/>
      <c r="D9" s="4"/>
      <c r="E9" s="4"/>
      <c r="F9" s="4" t="s">
        <v>169</v>
      </c>
      <c r="G9" s="4" t="s">
        <v>170</v>
      </c>
      <c r="H9" s="4" t="s">
        <v>171</v>
      </c>
      <c r="I9" s="4"/>
      <c r="J9" s="4" t="s">
        <v>172</v>
      </c>
    </row>
    <row r="10" ht="48" customHeight="1" spans="1:10" x14ac:dyDescent="0.25">
      <c r="A10" s="3" t="s">
        <v>173</v>
      </c>
      <c r="B10" s="4"/>
      <c r="C10" s="4"/>
      <c r="D10" s="4"/>
      <c r="E10" s="4" t="s">
        <v>174</v>
      </c>
      <c r="F10" s="4" t="s">
        <v>175</v>
      </c>
      <c r="G10" s="4" t="s">
        <v>176</v>
      </c>
      <c r="H10" s="4" t="s">
        <v>177</v>
      </c>
      <c r="I10" s="4"/>
      <c r="J10" s="4" t="s">
        <v>178</v>
      </c>
    </row>
    <row r="11" ht="48" customHeight="1" spans="1:10" x14ac:dyDescent="0.25">
      <c r="A11" s="3" t="s">
        <v>179</v>
      </c>
      <c r="B11" s="4"/>
      <c r="C11" s="4"/>
      <c r="D11" s="4"/>
      <c r="E11" s="4"/>
      <c r="F11" s="4" t="s">
        <v>180</v>
      </c>
      <c r="G11" s="4" t="s">
        <v>181</v>
      </c>
      <c r="H11" s="4" t="s">
        <v>182</v>
      </c>
      <c r="I11" s="4"/>
      <c r="J11" s="4" t="s">
        <v>183</v>
      </c>
    </row>
    <row r="12" ht="48" customHeight="1" spans="1:2" x14ac:dyDescent="0.25">
      <c r="A12" s="5" t="s">
        <v>184</v>
      </c>
      <c r="B12" s="6" t="s">
        <v>119</v>
      </c>
    </row>
    <row r="13" ht="48" customHeight="1" spans="1:2" x14ac:dyDescent="0.25">
      <c r="A13" s="5" t="s">
        <v>185</v>
      </c>
      <c r="B13" s="6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15" outlineLevelRow="0" outlineLevelCol="0" x14ac:dyDescent="55"/>
  <cols>
    <col min="2" max="2" width="9" style="8" customWidth="1"/>
    <col min="3" max="3" width="9" style="8" customWidth="1"/>
    <col min="4" max="4" width="9" style="8" customWidth="1"/>
    <col min="5" max="5" width="9" style="8" customWidth="1"/>
    <col min="6" max="6" width="9" style="8" customWidth="1"/>
    <col min="7" max="7" width="9" style="8" customWidth="1"/>
    <col min="8" max="8" width="9" style="8" customWidth="1"/>
    <col min="9" max="9" width="9" style="8" customWidth="1"/>
    <col min="10" max="10" width="9" style="8" customWidth="1"/>
    <col min="11" max="11" width="9" style="8" customWidth="1"/>
    <col min="12" max="12" width="9" style="8" customWidth="1"/>
    <col min="13" max="13" width="9" style="8" customWidth="1"/>
  </cols>
  <sheetData>
    <row r="1" spans="1:13" s="9" customFormat="1" x14ac:dyDescent="0.25">
      <c r="A1" s="9" t="s">
        <v>186</v>
      </c>
      <c r="B1" s="10" t="s">
        <v>187</v>
      </c>
      <c r="C1" s="10" t="s">
        <v>188</v>
      </c>
      <c r="D1" s="10" t="s">
        <v>189</v>
      </c>
      <c r="E1" s="10" t="s">
        <v>190</v>
      </c>
      <c r="F1" s="10" t="s">
        <v>191</v>
      </c>
      <c r="G1" s="10" t="s">
        <v>192</v>
      </c>
      <c r="H1" s="10" t="s">
        <v>193</v>
      </c>
      <c r="I1" s="10" t="s">
        <v>194</v>
      </c>
      <c r="J1" s="10" t="s">
        <v>195</v>
      </c>
      <c r="K1" s="10" t="s">
        <v>196</v>
      </c>
      <c r="L1" s="10" t="s">
        <v>197</v>
      </c>
      <c r="M1" s="10" t="s">
        <v>198</v>
      </c>
    </row>
    <row r="2" spans="1:13" x14ac:dyDescent="0.25">
      <c r="A2" t="s">
        <v>199</v>
      </c>
      <c r="B2" s="8">
        <v>11</v>
      </c>
      <c r="C2" s="8">
        <v>7</v>
      </c>
      <c r="D2" s="8">
        <v>3</v>
      </c>
      <c r="E2" s="8">
        <v>4</v>
      </c>
      <c r="F2" s="8">
        <v>7.5</v>
      </c>
      <c r="G2" s="8">
        <v>6.5</v>
      </c>
      <c r="H2" s="8">
        <v>2</v>
      </c>
      <c r="I2" s="8">
        <v>3</v>
      </c>
      <c r="J2" s="8">
        <v>2</v>
      </c>
      <c r="K2" s="8">
        <v>0</v>
      </c>
      <c r="L2" s="8">
        <v>1</v>
      </c>
      <c r="M2" s="8">
        <v>47</v>
      </c>
    </row>
    <row r="3" spans="1:13" x14ac:dyDescent="0.25">
      <c r="A3" t="s">
        <v>200</v>
      </c>
      <c r="B3" s="8">
        <v>10.75</v>
      </c>
      <c r="C3" s="8">
        <v>7</v>
      </c>
      <c r="D3" s="8">
        <v>2</v>
      </c>
      <c r="E3" s="8">
        <v>5</v>
      </c>
      <c r="F3" s="8">
        <v>7</v>
      </c>
      <c r="G3" s="8">
        <v>7</v>
      </c>
      <c r="H3" s="8">
        <v>3</v>
      </c>
      <c r="I3" s="8">
        <v>2</v>
      </c>
      <c r="J3" s="8">
        <v>2</v>
      </c>
      <c r="K3" s="8">
        <v>1</v>
      </c>
      <c r="L3" s="8">
        <v>0</v>
      </c>
      <c r="M3" s="8">
        <v>46.75</v>
      </c>
    </row>
    <row r="4" spans="1:13" x14ac:dyDescent="0.25">
      <c r="A4" t="s">
        <v>201</v>
      </c>
      <c r="B4" s="8">
        <v>9</v>
      </c>
      <c r="C4" s="8">
        <v>10.5</v>
      </c>
      <c r="D4" s="8">
        <v>2.5</v>
      </c>
      <c r="E4" s="8">
        <v>6.5</v>
      </c>
      <c r="F4" s="8">
        <v>5.75</v>
      </c>
      <c r="G4" s="8">
        <v>5.75</v>
      </c>
      <c r="H4" s="8">
        <v>2.5</v>
      </c>
      <c r="I4" s="8">
        <v>2</v>
      </c>
      <c r="J4" s="8">
        <v>2</v>
      </c>
      <c r="K4" s="8">
        <v>0</v>
      </c>
      <c r="L4" s="8">
        <v>0</v>
      </c>
      <c r="M4" s="8">
        <v>46.5</v>
      </c>
    </row>
    <row r="5" spans="1:13" s="9" customFormat="1" x14ac:dyDescent="0.25">
      <c r="A5" s="9" t="s">
        <v>198</v>
      </c>
      <c r="B5" s="10">
        <v>30.75</v>
      </c>
      <c r="C5" s="10">
        <v>24.5</v>
      </c>
      <c r="D5" s="10">
        <v>7.5</v>
      </c>
      <c r="E5" s="10">
        <v>15.5</v>
      </c>
      <c r="F5" s="10">
        <v>20.25</v>
      </c>
      <c r="G5" s="10">
        <v>19.25</v>
      </c>
      <c r="H5" s="10">
        <v>7.5</v>
      </c>
      <c r="I5" s="10">
        <v>7</v>
      </c>
      <c r="J5" s="10">
        <v>6</v>
      </c>
      <c r="K5" s="10">
        <v>1</v>
      </c>
      <c r="L5" s="10">
        <v>1</v>
      </c>
      <c r="M5" s="10">
        <v>140.25</v>
      </c>
    </row>
    <row r="7" spans="1:13" x14ac:dyDescent="0.25">
      <c r="A7" t="s">
        <v>202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x14ac:dyDescent="0.25">
      <c r="A8" t="s">
        <v>203</v>
      </c>
      <c r="B8" s="8">
        <v>46240.62467592592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x14ac:dyDescent="0.25">
      <c r="A9" t="s">
        <v>204</v>
      </c>
      <c r="B9" s="8" t="str">
        <f>IF(NOW()&gt;B8+TIME(0,2,0),"⚠ Recalculated since Calculated-at — totals may be stale, re-run the generator script","✓ Up to date as of the Calculated-at time above")</f>
        <v>✓ Up to date as of the Calculated-at time above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"/>
  <sheetFormatPr defaultRowHeight="15" outlineLevelRow="0" outlineLevelCol="0" x14ac:dyDescent="55"/>
  <cols>
    <col min="2" max="2" width="9" style="8" customWidth="1"/>
    <col min="3" max="3" width="9" style="8" customWidth="1"/>
    <col min="4" max="4" width="9" style="8" customWidth="1"/>
    <col min="5" max="5" width="9" style="8" customWidth="1"/>
    <col min="6" max="6" width="9" style="8" customWidth="1"/>
    <col min="7" max="7" width="9" style="8" customWidth="1"/>
    <col min="8" max="8" width="9" style="8" customWidth="1"/>
    <col min="9" max="9" width="9" style="8" customWidth="1"/>
    <col min="10" max="10" width="9" style="8" customWidth="1"/>
    <col min="11" max="11" width="9" style="8" customWidth="1"/>
    <col min="12" max="12" width="9" style="8" customWidth="1"/>
    <col min="13" max="13" width="9" style="8" customWidth="1"/>
    <col min="14" max="14" width="9" style="8" customWidth="1"/>
    <col min="15" max="15" width="9" style="8" customWidth="1"/>
    <col min="16" max="16" width="9" style="8" customWidth="1"/>
    <col min="17" max="17" width="9" style="8" customWidth="1"/>
    <col min="18" max="18" width="9" style="8" customWidth="1"/>
    <col min="19" max="19" width="9" style="8" customWidth="1"/>
    <col min="20" max="20" width="9" style="8" customWidth="1"/>
    <col min="21" max="21" width="9" style="8" customWidth="1"/>
    <col min="22" max="22" width="9" style="8" customWidth="1"/>
    <col min="23" max="23" width="9" style="8" customWidth="1"/>
    <col min="24" max="24" width="9" style="8" customWidth="1"/>
    <col min="25" max="25" width="9" style="8" customWidth="1"/>
    <col min="26" max="26" width="9" style="8" customWidth="1"/>
    <col min="27" max="27" width="9" style="8" customWidth="1"/>
    <col min="28" max="28" width="9" style="8" customWidth="1"/>
    <col min="29" max="29" width="9" style="8" customWidth="1"/>
    <col min="30" max="30" width="9" style="8" customWidth="1"/>
    <col min="31" max="31" width="9" style="8" customWidth="1"/>
    <col min="32" max="32" width="9" style="8" customWidth="1"/>
    <col min="33" max="33" width="9" style="8" customWidth="1"/>
    <col min="34" max="34" width="9" style="8" customWidth="1"/>
    <col min="35" max="35" width="9" style="8" customWidth="1"/>
    <col min="36" max="36" width="9" style="8" customWidth="1"/>
    <col min="37" max="37" width="9" style="8" customWidth="1"/>
    <col min="38" max="38" width="9" style="8" customWidth="1"/>
  </cols>
  <sheetData>
    <row r="1" spans="1:38" s="9" customFormat="1" x14ac:dyDescent="0.25">
      <c r="A1" s="9" t="s">
        <v>186</v>
      </c>
      <c r="B1" s="10" t="s">
        <v>205</v>
      </c>
      <c r="C1" s="10" t="s">
        <v>206</v>
      </c>
      <c r="D1" s="10" t="s">
        <v>207</v>
      </c>
      <c r="E1" s="10" t="s">
        <v>208</v>
      </c>
      <c r="F1" s="10" t="s">
        <v>209</v>
      </c>
      <c r="G1" s="10" t="s">
        <v>210</v>
      </c>
      <c r="H1" s="10" t="s">
        <v>211</v>
      </c>
      <c r="I1" s="10" t="s">
        <v>212</v>
      </c>
      <c r="J1" s="10" t="s">
        <v>213</v>
      </c>
      <c r="K1" s="10" t="s">
        <v>214</v>
      </c>
      <c r="L1" s="10" t="s">
        <v>215</v>
      </c>
      <c r="M1" s="10" t="s">
        <v>216</v>
      </c>
      <c r="N1" s="10" t="s">
        <v>217</v>
      </c>
      <c r="O1" s="10" t="s">
        <v>218</v>
      </c>
      <c r="P1" s="10" t="s">
        <v>219</v>
      </c>
      <c r="Q1" s="10" t="s">
        <v>220</v>
      </c>
      <c r="R1" s="10" t="s">
        <v>221</v>
      </c>
      <c r="S1" s="10" t="s">
        <v>222</v>
      </c>
      <c r="T1" s="10" t="s">
        <v>197</v>
      </c>
      <c r="U1" s="10" t="s">
        <v>223</v>
      </c>
      <c r="V1" s="10" t="s">
        <v>224</v>
      </c>
      <c r="W1" s="10" t="s">
        <v>225</v>
      </c>
      <c r="X1" s="11" t="s">
        <v>226</v>
      </c>
      <c r="Y1" s="10" t="s">
        <v>227</v>
      </c>
      <c r="Z1" s="10" t="s">
        <v>228</v>
      </c>
      <c r="AA1" s="10" t="s">
        <v>229</v>
      </c>
      <c r="AB1" s="10" t="s">
        <v>230</v>
      </c>
      <c r="AC1" s="10" t="s">
        <v>231</v>
      </c>
      <c r="AD1" s="10" t="s">
        <v>232</v>
      </c>
      <c r="AE1" s="10" t="s">
        <v>233</v>
      </c>
      <c r="AF1" s="10" t="s">
        <v>234</v>
      </c>
      <c r="AG1" s="10" t="s">
        <v>235</v>
      </c>
      <c r="AH1" s="10" t="s">
        <v>236</v>
      </c>
      <c r="AI1" s="10" t="s">
        <v>237</v>
      </c>
      <c r="AJ1" s="10" t="s">
        <v>238</v>
      </c>
      <c r="AK1" s="10" t="s">
        <v>239</v>
      </c>
      <c r="AL1" s="10" t="s">
        <v>198</v>
      </c>
    </row>
    <row r="2" spans="1:38" x14ac:dyDescent="0.25">
      <c r="A2" t="s">
        <v>199</v>
      </c>
      <c r="B2" s="8">
        <v>5</v>
      </c>
      <c r="C2" s="8">
        <v>4</v>
      </c>
      <c r="D2" s="8">
        <v>5</v>
      </c>
      <c r="E2" s="8">
        <v>4.5</v>
      </c>
      <c r="F2" s="8">
        <v>4</v>
      </c>
      <c r="G2" s="8">
        <v>5</v>
      </c>
      <c r="H2" s="8">
        <v>5</v>
      </c>
      <c r="I2" s="8">
        <v>5</v>
      </c>
      <c r="J2" s="8">
        <v>3</v>
      </c>
      <c r="K2" s="8">
        <v>0</v>
      </c>
      <c r="L2" s="8">
        <v>1</v>
      </c>
      <c r="M2" s="8">
        <v>3</v>
      </c>
      <c r="N2" s="8">
        <v>0</v>
      </c>
      <c r="O2" s="8">
        <v>0</v>
      </c>
      <c r="P2" s="8">
        <v>0</v>
      </c>
      <c r="Q2" s="8">
        <v>0</v>
      </c>
      <c r="R2" s="8">
        <v>1</v>
      </c>
      <c r="S2" s="8">
        <v>0</v>
      </c>
      <c r="T2" s="8">
        <v>1</v>
      </c>
      <c r="U2" s="8">
        <v>0</v>
      </c>
      <c r="V2" s="8">
        <v>0</v>
      </c>
      <c r="W2" s="8">
        <v>0</v>
      </c>
      <c r="X2" s="12">
        <v>0.5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47</v>
      </c>
    </row>
    <row r="3" spans="1:38" x14ac:dyDescent="0.25">
      <c r="A3" t="s">
        <v>200</v>
      </c>
      <c r="B3" s="8">
        <v>4</v>
      </c>
      <c r="C3" s="8">
        <v>6</v>
      </c>
      <c r="D3" s="8">
        <v>5</v>
      </c>
      <c r="E3" s="8">
        <v>6</v>
      </c>
      <c r="F3" s="8">
        <v>4</v>
      </c>
      <c r="G3" s="8">
        <v>4</v>
      </c>
      <c r="H3" s="8">
        <v>4</v>
      </c>
      <c r="I3" s="8">
        <v>4</v>
      </c>
      <c r="J3" s="8">
        <v>3</v>
      </c>
      <c r="K3" s="8">
        <v>1.5</v>
      </c>
      <c r="L3" s="8">
        <v>1</v>
      </c>
      <c r="M3" s="8">
        <v>0</v>
      </c>
      <c r="N3" s="8">
        <v>0</v>
      </c>
      <c r="O3" s="8">
        <v>0</v>
      </c>
      <c r="P3" s="8">
        <v>1</v>
      </c>
      <c r="Q3" s="8">
        <v>1</v>
      </c>
      <c r="R3" s="8">
        <v>0</v>
      </c>
      <c r="S3" s="8">
        <v>0.5</v>
      </c>
      <c r="T3" s="8">
        <v>0</v>
      </c>
      <c r="U3" s="8">
        <v>0.75</v>
      </c>
      <c r="V3" s="8">
        <v>0.5</v>
      </c>
      <c r="W3" s="8">
        <v>0.5</v>
      </c>
      <c r="X3" s="12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46.75</v>
      </c>
    </row>
    <row r="4" spans="1:38" x14ac:dyDescent="0.25">
      <c r="A4" t="s">
        <v>201</v>
      </c>
      <c r="B4" s="8">
        <v>5</v>
      </c>
      <c r="C4" s="8">
        <v>4</v>
      </c>
      <c r="D4" s="8">
        <v>4</v>
      </c>
      <c r="E4" s="8">
        <v>3</v>
      </c>
      <c r="F4" s="8">
        <v>4.5</v>
      </c>
      <c r="G4" s="8">
        <v>3</v>
      </c>
      <c r="H4" s="8">
        <v>3</v>
      </c>
      <c r="I4" s="8">
        <v>2</v>
      </c>
      <c r="J4" s="8">
        <v>3</v>
      </c>
      <c r="K4" s="8">
        <v>3</v>
      </c>
      <c r="L4" s="8">
        <v>1</v>
      </c>
      <c r="M4" s="8">
        <v>0</v>
      </c>
      <c r="N4" s="8">
        <v>2</v>
      </c>
      <c r="O4" s="8">
        <v>1.5</v>
      </c>
      <c r="P4" s="8">
        <v>0.5</v>
      </c>
      <c r="Q4" s="8">
        <v>0.5</v>
      </c>
      <c r="R4" s="8">
        <v>0</v>
      </c>
      <c r="S4" s="8">
        <v>0.5</v>
      </c>
      <c r="T4" s="8">
        <v>0</v>
      </c>
      <c r="U4" s="8">
        <v>0</v>
      </c>
      <c r="V4" s="8">
        <v>0</v>
      </c>
      <c r="W4" s="8">
        <v>0</v>
      </c>
      <c r="X4" s="12">
        <v>0</v>
      </c>
      <c r="Y4" s="8">
        <v>0.5</v>
      </c>
      <c r="Z4" s="8">
        <v>0.5</v>
      </c>
      <c r="AA4" s="8">
        <v>0.5</v>
      </c>
      <c r="AB4" s="8">
        <v>0.5</v>
      </c>
      <c r="AC4" s="8">
        <v>0.5</v>
      </c>
      <c r="AD4" s="8">
        <v>0.5</v>
      </c>
      <c r="AE4" s="8">
        <v>0.5</v>
      </c>
      <c r="AF4" s="8">
        <v>0.5</v>
      </c>
      <c r="AG4" s="8">
        <v>0.5</v>
      </c>
      <c r="AH4" s="8">
        <v>0.5</v>
      </c>
      <c r="AI4" s="8">
        <v>0.5</v>
      </c>
      <c r="AJ4" s="8">
        <v>0.25</v>
      </c>
      <c r="AK4" s="8">
        <v>0.25</v>
      </c>
      <c r="AL4" s="8">
        <v>46.5</v>
      </c>
    </row>
    <row r="5" spans="1:38" s="9" customFormat="1" x14ac:dyDescent="0.25">
      <c r="A5" s="9" t="s">
        <v>198</v>
      </c>
      <c r="B5" s="10">
        <v>14</v>
      </c>
      <c r="C5" s="10">
        <v>14</v>
      </c>
      <c r="D5" s="10">
        <v>14</v>
      </c>
      <c r="E5" s="10">
        <v>13.5</v>
      </c>
      <c r="F5" s="10">
        <v>12.5</v>
      </c>
      <c r="G5" s="10">
        <v>12</v>
      </c>
      <c r="H5" s="10">
        <v>12</v>
      </c>
      <c r="I5" s="10">
        <v>11</v>
      </c>
      <c r="J5" s="10">
        <v>9</v>
      </c>
      <c r="K5" s="10">
        <v>4.5</v>
      </c>
      <c r="L5" s="10">
        <v>3</v>
      </c>
      <c r="M5" s="10">
        <v>3</v>
      </c>
      <c r="N5" s="10">
        <v>2</v>
      </c>
      <c r="O5" s="10">
        <v>1.5</v>
      </c>
      <c r="P5" s="10">
        <v>1.5</v>
      </c>
      <c r="Q5" s="10">
        <v>1.5</v>
      </c>
      <c r="R5" s="10">
        <v>1</v>
      </c>
      <c r="S5" s="10">
        <v>1</v>
      </c>
      <c r="T5" s="10">
        <v>1</v>
      </c>
      <c r="U5" s="10">
        <v>0.75</v>
      </c>
      <c r="V5" s="10">
        <v>0.5</v>
      </c>
      <c r="W5" s="10">
        <v>0.5</v>
      </c>
      <c r="X5" s="11">
        <v>0.5</v>
      </c>
      <c r="Y5" s="10">
        <v>0.5</v>
      </c>
      <c r="Z5" s="10">
        <v>0.5</v>
      </c>
      <c r="AA5" s="10">
        <v>0.5</v>
      </c>
      <c r="AB5" s="10">
        <v>0.5</v>
      </c>
      <c r="AC5" s="10">
        <v>0.5</v>
      </c>
      <c r="AD5" s="10">
        <v>0.5</v>
      </c>
      <c r="AE5" s="10">
        <v>0.5</v>
      </c>
      <c r="AF5" s="10">
        <v>0.5</v>
      </c>
      <c r="AG5" s="10">
        <v>0.5</v>
      </c>
      <c r="AH5" s="10">
        <v>0.5</v>
      </c>
      <c r="AI5" s="10">
        <v>0.5</v>
      </c>
      <c r="AJ5" s="10">
        <v>0.25</v>
      </c>
      <c r="AK5" s="10">
        <v>0.25</v>
      </c>
      <c r="AL5" s="10">
        <v>140.25</v>
      </c>
    </row>
    <row r="7" spans="1:38" x14ac:dyDescent="0.25">
      <c r="A7" t="s">
        <v>202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8" x14ac:dyDescent="0.25">
      <c r="A8" t="s">
        <v>203</v>
      </c>
      <c r="B8" s="8">
        <v>46240.62467592592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x14ac:dyDescent="0.25">
      <c r="A9" t="s">
        <v>204</v>
      </c>
      <c r="B9" s="8" t="str">
        <f>IF(NOW()&gt;B8+TIME(0,2,0),"⚠ Recalculated since Calculated-at — totals may be stale, re-run the generator script","✓ Up to date as of the Calculated-at time above")</f>
        <v>✓ Up to date as of the Calculated-at time above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Thursday July 2</vt:lpstr>
      <vt:lpstr>Friday July 3</vt:lpstr>
      <vt:lpstr>Saturday July 4</vt:lpstr>
      <vt:lpstr>- Hours by Level</vt:lpstr>
      <vt:lpstr>- Hours by Caller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2026-07-24T00:56:23Z</dcterms:created>
  <dcterms:modified xsi:type="dcterms:W3CDTF">2026-07-30T23:04:43Z</dcterms:modified>
</cp:coreProperties>
</file>